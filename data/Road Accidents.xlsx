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sif\Documents\Crime_Data_2020_2022\Clean Files\"/>
    </mc:Choice>
  </mc:AlternateContent>
  <xr:revisionPtr revIDLastSave="0" documentId="8_{C582C366-3D03-4FDF-94AE-3C8FDB9143E0}" xr6:coauthVersionLast="47" xr6:coauthVersionMax="47" xr10:uidLastSave="{00000000-0000-0000-0000-000000000000}"/>
  <bookViews>
    <workbookView xWindow="-96" yWindow="0" windowWidth="11712" windowHeight="12336" xr2:uid="{A97E5AB7-39FC-4662-8CDC-B24BBCEC1D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C3" i="1"/>
  <c r="C2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<sst xmlns="http://schemas.openxmlformats.org/spreadsheetml/2006/main" count="37" uniqueCount="37">
  <si>
    <t>state</t>
  </si>
  <si>
    <t>Andhra Pradesh</t>
  </si>
  <si>
    <t>Arunachal Pradesh</t>
  </si>
  <si>
    <t>Assam</t>
  </si>
  <si>
    <t>Bihar</t>
  </si>
  <si>
    <t>Chattisgarh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</si>
  <si>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</si>
  <si>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</si>
  <si>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</si>
  <si>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</si>
  <si>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</si>
  <si>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</si>
  <si>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</si>
  <si>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</si>
  <si>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</si>
  <si>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</si>
  <si>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</si>
  <si>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</si>
  <si>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</si>
  <si>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</si>
  <si>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</si>
  <si>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</si>
  <si>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</si>
  <si>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</si>
  <si>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</si>
  <si>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</si>
  <si>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</si>
  <si>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</si>
  <si>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</si>
  <si>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and Nicobar islands</t>
  </si>
  <si>
    <t>Chandigarh</t>
  </si>
  <si>
    <t>D&amp;N Haveli and Daman &amp; Diu</t>
  </si>
  <si>
    <t>Delhi</t>
  </si>
  <si>
    <t>Jammu and Kashmir</t>
  </si>
  <si>
    <t>Ladakh</t>
  </si>
  <si>
    <t>Lakshadweep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</si>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</sst>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AB34-9633-43A6-A7EE-0FA9AFFE6D1A}">
  <dimension ref="A1:D37"/>
  <sheetViews>
    <sheetView tabSelected="1" topLeftCell="A13" workbookViewId="0">
      <selection activeCell="F20" sqref="F20"/>
    </sheetView>
  </sheetViews>
  <sheetFormatPr defaultRowHeight="14.4" x14ac:dyDescent="0.3"/>
  <cols>
    <col min="1" max="1" width="17.77734375" customWidth="1"/>
  </cols>
  <sheetData>
    <row r="1" spans="1:4" x14ac:dyDescent="0.3">
      <c r="A1" t="s">
        <v>0</v>
      </c>
      <c r="B1">
        <v>2020</v>
      </c>
      <c r="C1">
        <v>2021</v>
      </c>
      <c r="D1">
        <v>2022</v>
      </c>
    </row>
    <row r="2" spans="1:4" x14ac:dyDescent="0.3">
      <c r="A2" t="s">
        <v>1</v>
      </c>
      <c r="B2">
        <f>SUM(6415+491+5924)</f>
        <v>12830</v>
      </c>
      <c r="C2">
        <f>SUM(7567+739+6828)</f>
        <v>15134</v>
      </c>
      <c r="D2">
        <v>15238</v>
      </c>
    </row>
    <row r="3" spans="1:4" x14ac:dyDescent="0.3">
      <c r="A3" t="s">
        <v>2</v>
      </c>
      <c r="B3">
        <f>SUM(55+9+46)</f>
        <v>110</v>
      </c>
      <c r="C3">
        <f>SUM(118+40+78)</f>
        <v>236</v>
      </c>
      <c r="D3">
        <v>220</v>
      </c>
    </row>
    <row r="4" spans="1:4" x14ac:dyDescent="0.3">
      <c r="A4" t="s">
        <v>3</v>
      </c>
      <c r="B4">
        <f>SUM(2472+885+1587)</f>
        <v>4944</v>
      </c>
      <c r="C4">
        <f>SUM(2611+1475+1136)</f>
        <v>5222</v>
      </c>
      <c r="D4">
        <v>5194</v>
      </c>
    </row>
    <row r="5" spans="1:4" x14ac:dyDescent="0.3">
      <c r="A5" t="s">
        <v>4</v>
      </c>
      <c r="B5">
        <f>SUM(6467+1216+5251)</f>
        <v>12934</v>
      </c>
      <c r="C5">
        <v>14122</v>
      </c>
      <c r="D5">
        <v>16484</v>
      </c>
    </row>
    <row r="6" spans="1:4" x14ac:dyDescent="0.3">
      <c r="A6" t="s">
        <v>5</v>
      </c>
      <c r="B6">
        <f>SUM(4066+1749+2317)</f>
        <v>8132</v>
      </c>
      <c r="C6">
        <v>9354</v>
      </c>
      <c r="D6">
        <v>9690</v>
      </c>
    </row>
    <row r="7" spans="1:4" x14ac:dyDescent="0.3">
      <c r="A7" t="s">
        <v>6</v>
      </c>
      <c r="B7">
        <f>SUM(125+21+104)</f>
        <v>250</v>
      </c>
      <c r="C7">
        <v>242</v>
      </c>
      <c r="D7">
        <v>350</v>
      </c>
    </row>
    <row r="8" spans="1:4" x14ac:dyDescent="0.3">
      <c r="A8" t="s">
        <v>7</v>
      </c>
      <c r="B8">
        <f>SUM(5597+1022+4575)</f>
        <v>11194</v>
      </c>
      <c r="C8">
        <v>13438</v>
      </c>
      <c r="D8">
        <v>13920</v>
      </c>
    </row>
    <row r="9" spans="1:4" x14ac:dyDescent="0.3">
      <c r="A9" t="s">
        <v>8</v>
      </c>
      <c r="B9">
        <f>SUM(4217+544+3673)</f>
        <v>8434</v>
      </c>
      <c r="C9">
        <v>9040</v>
      </c>
      <c r="D9">
        <v>9168</v>
      </c>
    </row>
    <row r="10" spans="1:4" x14ac:dyDescent="0.3">
      <c r="A10" t="s">
        <v>9</v>
      </c>
      <c r="B10">
        <f>SUM(543+62+481)</f>
        <v>1086</v>
      </c>
      <c r="C10">
        <v>1314</v>
      </c>
      <c r="D10">
        <v>1328</v>
      </c>
    </row>
    <row r="11" spans="1:4" x14ac:dyDescent="0.3">
      <c r="A11" t="s">
        <v>10</v>
      </c>
      <c r="B11">
        <f>SUM(2671+1417+1254)</f>
        <v>5342</v>
      </c>
      <c r="C11">
        <v>5514</v>
      </c>
      <c r="D11">
        <v>7388</v>
      </c>
    </row>
    <row r="12" spans="1:4" x14ac:dyDescent="0.3">
      <c r="A12" t="s">
        <v>11</v>
      </c>
      <c r="B12">
        <f>SUM(9111+991+8120)</f>
        <v>18222</v>
      </c>
      <c r="C12">
        <v>18948</v>
      </c>
      <c r="D12">
        <v>21760</v>
      </c>
    </row>
    <row r="13" spans="1:4" x14ac:dyDescent="0.3">
      <c r="A13" t="s">
        <v>12</v>
      </c>
      <c r="B13">
        <f>SUM(2236+126+2110)</f>
        <v>4472</v>
      </c>
      <c r="C13">
        <v>5388</v>
      </c>
      <c r="D13">
        <v>6942</v>
      </c>
    </row>
    <row r="14" spans="1:4" x14ac:dyDescent="0.3">
      <c r="A14" t="s">
        <v>13</v>
      </c>
      <c r="B14">
        <f>SUM(10614+6664+3950)</f>
        <v>21228</v>
      </c>
      <c r="C14">
        <v>23706</v>
      </c>
      <c r="D14">
        <v>25982</v>
      </c>
    </row>
    <row r="15" spans="1:4" x14ac:dyDescent="0.3">
      <c r="A15" t="s">
        <v>14</v>
      </c>
      <c r="B15">
        <f>SUM(10868+2179+8689)</f>
        <v>21736</v>
      </c>
      <c r="C15">
        <v>24778</v>
      </c>
      <c r="D15">
        <v>28358</v>
      </c>
    </row>
    <row r="16" spans="1:4" x14ac:dyDescent="0.3">
      <c r="A16" t="s">
        <v>15</v>
      </c>
      <c r="B16">
        <f>SUM(112+62+50)</f>
        <v>224</v>
      </c>
      <c r="C16">
        <v>190</v>
      </c>
      <c r="D16">
        <v>214</v>
      </c>
    </row>
    <row r="17" spans="1:4" x14ac:dyDescent="0.3">
      <c r="A17" t="s">
        <v>16</v>
      </c>
      <c r="B17">
        <f>SUM(107+35+72)</f>
        <v>214</v>
      </c>
      <c r="C17">
        <v>218</v>
      </c>
      <c r="D17">
        <v>152</v>
      </c>
    </row>
    <row r="18" spans="1:4" x14ac:dyDescent="0.3">
      <c r="A18" t="s">
        <v>17</v>
      </c>
      <c r="B18">
        <f>SUM(34+27+7)</f>
        <v>68</v>
      </c>
      <c r="C18">
        <v>82</v>
      </c>
      <c r="D18">
        <v>160</v>
      </c>
    </row>
    <row r="19" spans="1:4" x14ac:dyDescent="0.3">
      <c r="A19" t="s">
        <v>18</v>
      </c>
      <c r="B19">
        <f>SUM(30+16+14)</f>
        <v>60</v>
      </c>
      <c r="C19">
        <v>54</v>
      </c>
      <c r="D19">
        <v>78</v>
      </c>
    </row>
    <row r="20" spans="1:4" x14ac:dyDescent="0.3">
      <c r="A20" t="s">
        <v>19</v>
      </c>
      <c r="B20">
        <f>SUM(4546+3735+811)</f>
        <v>9092</v>
      </c>
      <c r="C20">
        <v>9472</v>
      </c>
      <c r="D20">
        <v>10280</v>
      </c>
    </row>
    <row r="21" spans="1:4" x14ac:dyDescent="0.3">
      <c r="A21" t="s">
        <v>20</v>
      </c>
      <c r="B21">
        <f>SUM(2676+1316+1360)</f>
        <v>5352</v>
      </c>
      <c r="C21">
        <v>5828</v>
      </c>
      <c r="D21">
        <v>6148</v>
      </c>
    </row>
    <row r="22" spans="1:4" x14ac:dyDescent="0.3">
      <c r="A22" t="s">
        <v>21</v>
      </c>
      <c r="B22">
        <f>SUM(8044+1733+6311)</f>
        <v>16088</v>
      </c>
      <c r="C22">
        <v>17290</v>
      </c>
      <c r="D22">
        <v>19326</v>
      </c>
    </row>
    <row r="23" spans="1:4" x14ac:dyDescent="0.3">
      <c r="A23" t="s">
        <v>22</v>
      </c>
      <c r="B23">
        <f>SUM(24+3+21)</f>
        <v>48</v>
      </c>
      <c r="C23">
        <v>88</v>
      </c>
      <c r="D23">
        <v>104</v>
      </c>
    </row>
    <row r="24" spans="1:4" x14ac:dyDescent="0.3">
      <c r="A24" t="s">
        <v>23</v>
      </c>
      <c r="B24">
        <f>SUM(8076+618+7458)</f>
        <v>16152</v>
      </c>
      <c r="C24">
        <v>29494</v>
      </c>
      <c r="D24">
        <v>33962</v>
      </c>
    </row>
    <row r="25" spans="1:4" x14ac:dyDescent="0.3">
      <c r="A25" t="s">
        <v>24</v>
      </c>
      <c r="B25">
        <f>SUM(6288+1332+4956)</f>
        <v>12576</v>
      </c>
      <c r="C25">
        <v>14160</v>
      </c>
      <c r="D25">
        <v>14108</v>
      </c>
    </row>
    <row r="26" spans="1:4" x14ac:dyDescent="0.3">
      <c r="A26" t="s">
        <v>25</v>
      </c>
      <c r="B26">
        <f>SUM(179+83+96)</f>
        <v>358</v>
      </c>
      <c r="C26">
        <v>362</v>
      </c>
      <c r="D26">
        <v>464</v>
      </c>
    </row>
    <row r="27" spans="1:4" x14ac:dyDescent="0.3">
      <c r="A27" t="s">
        <v>26</v>
      </c>
      <c r="B27">
        <f>SUM(17513+13862+3651)</f>
        <v>35026</v>
      </c>
      <c r="C27">
        <v>36456</v>
      </c>
      <c r="D27">
        <v>40218</v>
      </c>
    </row>
    <row r="28" spans="1:4" x14ac:dyDescent="0.3">
      <c r="A28" t="s">
        <v>27</v>
      </c>
      <c r="B28">
        <f>SUM(361+199+162)</f>
        <v>722</v>
      </c>
      <c r="C28">
        <v>1036</v>
      </c>
      <c r="D28">
        <v>768</v>
      </c>
    </row>
    <row r="29" spans="1:4" x14ac:dyDescent="0.3">
      <c r="A29" t="s">
        <v>28</v>
      </c>
      <c r="B29">
        <f>SUM(4864+131+4733)</f>
        <v>9728</v>
      </c>
      <c r="C29">
        <v>9646</v>
      </c>
      <c r="D29">
        <v>9428</v>
      </c>
    </row>
    <row r="30" spans="1:4" x14ac:dyDescent="0.3">
      <c r="A30" t="s">
        <v>29</v>
      </c>
      <c r="B30">
        <f>SUM(12+3+9)</f>
        <v>24</v>
      </c>
      <c r="C30">
        <v>38</v>
      </c>
      <c r="D30">
        <v>38</v>
      </c>
    </row>
    <row r="31" spans="1:4" x14ac:dyDescent="0.3">
      <c r="A31" t="s">
        <v>30</v>
      </c>
      <c r="B31">
        <f>SUM(41+16+25)</f>
        <v>82</v>
      </c>
      <c r="C31">
        <v>160</v>
      </c>
      <c r="D31">
        <v>152</v>
      </c>
    </row>
    <row r="32" spans="1:4" x14ac:dyDescent="0.3">
      <c r="A32" t="s">
        <v>31</v>
      </c>
      <c r="B32">
        <f>SUM(61+22+39)</f>
        <v>122</v>
      </c>
      <c r="C32">
        <v>142</v>
      </c>
      <c r="D32">
        <v>172</v>
      </c>
    </row>
    <row r="33" spans="1:4" x14ac:dyDescent="0.3">
      <c r="A33" t="s">
        <v>32</v>
      </c>
      <c r="B33">
        <f>SUM(1163+532+631)</f>
        <v>2326</v>
      </c>
      <c r="C33">
        <v>2412</v>
      </c>
      <c r="D33">
        <v>2856</v>
      </c>
    </row>
    <row r="34" spans="1:4" x14ac:dyDescent="0.3">
      <c r="A34" t="s">
        <v>33</v>
      </c>
      <c r="B34">
        <f>SUM(559+95+464)</f>
        <v>1118</v>
      </c>
      <c r="C34">
        <v>1192</v>
      </c>
      <c r="D34">
        <v>1200</v>
      </c>
    </row>
    <row r="35" spans="1:4" x14ac:dyDescent="0.3">
      <c r="A35" t="s">
        <v>34</v>
      </c>
      <c r="B35">
        <f>SUM(29+0+29)</f>
        <v>58</v>
      </c>
      <c r="C35">
        <v>100</v>
      </c>
      <c r="D35">
        <v>120</v>
      </c>
    </row>
    <row r="36" spans="1:4" x14ac:dyDescent="0.3">
      <c r="A36" t="s">
        <v>35</v>
      </c>
      <c r="B36">
        <f>SUM(0+0+0)</f>
        <v>0</v>
      </c>
      <c r="C36">
        <v>2</v>
      </c>
      <c r="D36">
        <v>0</v>
      </c>
    </row>
    <row r="37" spans="1:4" x14ac:dyDescent="0.3">
      <c r="A37" t="s">
        <v>36</v>
      </c>
      <c r="B37">
        <f>SUM(0+0+0)</f>
        <v>0</v>
      </c>
      <c r="C37">
        <v>2</v>
      </c>
      <c r="D3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Irfana Asiff</dc:creator>
  <cp:lastModifiedBy>Irfana Asiff</cp:lastModifiedBy>
  <dcterms:created xsi:type="dcterms:W3CDTF">2025-09-20T14:03:40Z</dcterms:created>
  <dcterms:modified xsi:type="dcterms:W3CDTF">2025-09-20T14:52:39Z</dcterms:modified>
</cp:coreProperties>
</file>